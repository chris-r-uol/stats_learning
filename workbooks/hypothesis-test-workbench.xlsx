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One-Sample Z" sheetId="2" state="visible" r:id="rId2"/>
    <sheet name="One-Sample T" sheetId="3" state="visible" r:id="rId3"/>
    <sheet name="Two-Sample Z" sheetId="4" state="visible" r:id="rId4"/>
    <sheet name="Two-Sample T" sheetId="5" state="visible" r:id="rId5"/>
    <sheet name="Paired T" sheetId="6" state="visible" r:id="rId6"/>
    <sheet name="Chi-Squared" sheetId="7" state="visible" r:id="rId7"/>
    <sheet name="Regression Coeff 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5F"/>
      <sz val="14"/>
    </font>
    <font>
      <i val="1"/>
      <color rgb="00595959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3" fillId="2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84" customWidth="1" min="1" max="1"/>
  </cols>
  <sheetData>
    <row r="1">
      <c r="A1" s="1" t="inlineStr">
        <is>
          <t>Hypothesis Test Workbench</t>
        </is>
      </c>
    </row>
    <row r="2">
      <c r="A2" t="inlineStr"/>
    </row>
    <row r="3">
      <c r="A3" t="inlineStr">
        <is>
          <t>Excel has no function that runs a hypothesis test from summary statistics.</t>
        </is>
      </c>
    </row>
    <row r="4">
      <c r="A4" t="inlineStr">
        <is>
          <t>T.TEST needs two ranges of raw data, and so does the Analysis ToolPak. When a</t>
        </is>
      </c>
    </row>
    <row r="5">
      <c r="A5" t="inlineStr">
        <is>
          <t>question gives you only n, the mean and the standard deviation, you have to</t>
        </is>
      </c>
    </row>
    <row r="6">
      <c r="A6" t="inlineStr">
        <is>
          <t>build the test out of cell formulas. That is what these sheets do.</t>
        </is>
      </c>
    </row>
    <row r="7">
      <c r="A7" t="inlineStr"/>
    </row>
    <row r="8">
      <c r="A8" t="inlineStr">
        <is>
          <t>How to use a sheet</t>
        </is>
      </c>
    </row>
    <row r="9">
      <c r="A9" t="inlineStr">
        <is>
          <t xml:space="preserve">  1. Pick the sheet matching your test (see the chooser below).</t>
        </is>
      </c>
    </row>
    <row r="10">
      <c r="A10" t="inlineStr">
        <is>
          <t xml:space="preserve">  2. Type your numbers into the yellow cells only.</t>
        </is>
      </c>
    </row>
    <row r="11">
      <c r="A11" t="inlineStr">
        <is>
          <t xml:space="preserve">  3. Read the test statistic, the critical value and the p-value.</t>
        </is>
      </c>
    </row>
    <row r="12">
      <c r="A12" t="inlineStr">
        <is>
          <t xml:space="preserve">  4. Check that both verdicts agree. They always should.</t>
        </is>
      </c>
    </row>
    <row r="13">
      <c r="A13" t="inlineStr"/>
    </row>
    <row r="14">
      <c r="A14" t="inlineStr">
        <is>
          <t>Which test do I need?</t>
        </is>
      </c>
    </row>
    <row r="15">
      <c r="A15" t="inlineStr">
        <is>
          <t xml:space="preserve">  Comparing one sample mean to a known population mean</t>
        </is>
      </c>
    </row>
    <row r="16">
      <c r="A16" t="inlineStr">
        <is>
          <t xml:space="preserve">      population sd known ................ One-Sample Z</t>
        </is>
      </c>
    </row>
    <row r="17">
      <c r="A17" t="inlineStr">
        <is>
          <t xml:space="preserve">      population sd unknown .............. One-Sample T</t>
        </is>
      </c>
    </row>
    <row r="18">
      <c r="A18" t="inlineStr">
        <is>
          <t xml:space="preserve">  Comparing two independent groups</t>
        </is>
      </c>
    </row>
    <row r="19">
      <c r="A19" t="inlineStr">
        <is>
          <t xml:space="preserve">      population sds known, or n large ... Two-Sample Z</t>
        </is>
      </c>
    </row>
    <row r="20">
      <c r="A20" t="inlineStr">
        <is>
          <t xml:space="preserve">      population sds unknown ............. Two-Sample T</t>
        </is>
      </c>
    </row>
    <row r="21">
      <c r="A21" t="inlineStr">
        <is>
          <t xml:space="preserve">  Same subjects measured twice ........... Paired T</t>
        </is>
      </c>
    </row>
    <row r="22">
      <c r="A22" t="inlineStr">
        <is>
          <t xml:space="preserve">  Two categorical variables .............. Chi-Squared</t>
        </is>
      </c>
    </row>
    <row r="23">
      <c r="A23" t="inlineStr">
        <is>
          <t xml:space="preserve">  Is a regression coefficient real? ...... Regression Coefficient T</t>
        </is>
      </c>
    </row>
    <row r="24">
      <c r="A24" t="inlineStr"/>
    </row>
    <row r="25">
      <c r="A25" t="inlineStr">
        <is>
          <t>Every sheet reports both the critical-value route and the p-value route.</t>
        </is>
      </c>
    </row>
    <row r="26">
      <c r="A26" t="inlineStr">
        <is>
          <t>They are two ways of asking the same question, and a result you can reach</t>
        </is>
      </c>
    </row>
    <row r="27">
      <c r="A27" t="inlineStr">
        <is>
          <t>two ways is more trustworthy than one you can only reach one way.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62" customWidth="1" min="3" max="3"/>
  </cols>
  <sheetData>
    <row r="1">
      <c r="A1" s="1" t="inlineStr">
        <is>
          <t>One-Sample Z-Test</t>
        </is>
      </c>
    </row>
    <row r="2">
      <c r="A2" s="2" t="inlineStr">
        <is>
          <t>Compares a sample mean against a known population mean.</t>
        </is>
      </c>
    </row>
    <row r="3">
      <c r="A3" s="2" t="inlineStr">
        <is>
          <t>Use when: the population standard deviation is known.</t>
        </is>
      </c>
    </row>
    <row r="5">
      <c r="A5" s="3" t="inlineStr">
        <is>
          <t>INPUTS</t>
        </is>
      </c>
    </row>
    <row r="6">
      <c r="A6" s="4" t="inlineStr">
        <is>
          <t>Sample mean (xbar)</t>
        </is>
      </c>
      <c r="B6" s="5" t="n">
        <v>10.9</v>
      </c>
    </row>
    <row r="7">
      <c r="A7" s="4" t="inlineStr">
        <is>
          <t>Population mean (mu0)</t>
        </is>
      </c>
      <c r="B7" s="5" t="n">
        <v>12</v>
      </c>
      <c r="C7" s="2" t="inlineStr">
        <is>
          <t>the value under H0</t>
        </is>
      </c>
    </row>
    <row r="8">
      <c r="A8" s="4" t="inlineStr">
        <is>
          <t>Population sd (sigma)</t>
        </is>
      </c>
      <c r="B8" s="5" t="n">
        <v>3.5</v>
      </c>
      <c r="C8" s="2" t="inlineStr">
        <is>
          <t>known, not estimated from the sample</t>
        </is>
      </c>
    </row>
    <row r="9">
      <c r="A9" s="4" t="inlineStr">
        <is>
          <t>Sample size (n)</t>
        </is>
      </c>
      <c r="B9" s="5" t="n">
        <v>100</v>
      </c>
    </row>
    <row r="10">
      <c r="A10" s="4" t="inlineStr">
        <is>
          <t>Alpha</t>
        </is>
      </c>
      <c r="B10" s="5" t="n">
        <v>0.05</v>
      </c>
      <c r="C10" s="2" t="inlineStr">
        <is>
          <t>0.05 for 95% confidence</t>
        </is>
      </c>
    </row>
    <row r="11">
      <c r="A11" s="4" t="inlineStr">
        <is>
          <t>Tails (1 or 2)</t>
        </is>
      </c>
      <c r="B11" s="5" t="n">
        <v>1</v>
      </c>
      <c r="C11" s="2" t="inlineStr">
        <is>
          <t>1 for a directional H1, 2 otherwise</t>
        </is>
      </c>
    </row>
    <row r="13">
      <c r="A13" s="3" t="inlineStr">
        <is>
          <t>RESULTS</t>
        </is>
      </c>
    </row>
    <row r="14">
      <c r="A14" s="4" t="inlineStr">
        <is>
          <t>Standard error</t>
        </is>
      </c>
      <c r="B14" s="6">
        <f>B8/SQRT(B9)</f>
        <v/>
      </c>
      <c r="C14" s="2" t="inlineStr">
        <is>
          <t>sigma / sqrt(n)</t>
        </is>
      </c>
    </row>
    <row r="15">
      <c r="A15" s="4" t="inlineStr">
        <is>
          <t>Test statistic z</t>
        </is>
      </c>
      <c r="B15" s="6">
        <f>(B6-B7)/B14</f>
        <v/>
      </c>
      <c r="C15" s="2" t="inlineStr">
        <is>
          <t>can be negative - that is fine</t>
        </is>
      </c>
    </row>
    <row r="16">
      <c r="A16" s="4" t="inlineStr">
        <is>
          <t>Critical value</t>
        </is>
      </c>
      <c r="B16" s="6">
        <f>IF(B11=2,NORM.S.INV(1-B10/2),NORM.S.INV(1-B10))</f>
        <v/>
      </c>
      <c r="C16" s="2" t="inlineStr">
        <is>
          <t>two-tailed splits alpha between the tails</t>
        </is>
      </c>
    </row>
    <row r="17">
      <c r="A17" s="4" t="inlineStr">
        <is>
          <t>p-value</t>
        </is>
      </c>
      <c r="B17" s="6">
        <f>IF(B11=2,2*(1-NORM.S.DIST(ABS(B15),TRUE)),1-NORM.S.DIST(ABS(B15),TRUE))</f>
        <v/>
      </c>
      <c r="C17" s="2" t="inlineStr">
        <is>
          <t>probability of a result at least this extreme if H0 is true</t>
        </is>
      </c>
    </row>
    <row r="19">
      <c r="A19" s="3" t="inlineStr">
        <is>
          <t>VERDICT</t>
        </is>
      </c>
    </row>
    <row r="20">
      <c r="A20" s="4" t="inlineStr">
        <is>
          <t>By critical value</t>
        </is>
      </c>
      <c r="B20" s="7">
        <f>IF(ABS(B15)&gt;B16,"Reject H0","Do not reject H0")</f>
        <v/>
      </c>
      <c r="C20" s="2" t="inlineStr">
        <is>
          <t>Reject when the test statistic is further from zero than the critical value.</t>
        </is>
      </c>
    </row>
    <row r="21">
      <c r="A21" s="4" t="inlineStr">
        <is>
          <t>By p-value</t>
        </is>
      </c>
      <c r="B21" s="7">
        <f>IF(B17&lt;B10,"Reject H0","Do not reject H0")</f>
        <v/>
      </c>
      <c r="C21" s="2" t="inlineStr">
        <is>
          <t>Reject when p &lt; alpha.</t>
        </is>
      </c>
    </row>
    <row r="22">
      <c r="A22" s="4" t="inlineStr">
        <is>
          <t>Routes agree?</t>
        </is>
      </c>
      <c r="B22" s="7">
        <f>IF(B20=B21,"yes","CHECK YOUR INPUTS")</f>
        <v/>
      </c>
      <c r="C22" s="2" t="inlineStr">
        <is>
          <t>These two always agree. If they don't, an input is wrong.</t>
        </is>
      </c>
    </row>
    <row r="24">
      <c r="A24" s="2" t="inlineStr">
        <is>
          <t>Remember: failing to reject H0 is not the same as proving it true.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62" customWidth="1" min="3" max="3"/>
  </cols>
  <sheetData>
    <row r="1">
      <c r="A1" s="1" t="inlineStr">
        <is>
          <t>One-Sample T-Test</t>
        </is>
      </c>
    </row>
    <row r="2">
      <c r="A2" s="2" t="inlineStr">
        <is>
          <t>Compares a sample mean against a hypothesised population mean.</t>
        </is>
      </c>
    </row>
    <row r="3">
      <c r="A3" s="2" t="inlineStr">
        <is>
          <t>Use when: the population standard deviation is unknown and estimated from the sample.</t>
        </is>
      </c>
    </row>
    <row r="5">
      <c r="A5" s="3" t="inlineStr">
        <is>
          <t>INPUTS</t>
        </is>
      </c>
    </row>
    <row r="6">
      <c r="A6" s="4" t="inlineStr">
        <is>
          <t>Sample mean (xbar)</t>
        </is>
      </c>
      <c r="B6" s="5" t="n">
        <v>25</v>
      </c>
    </row>
    <row r="7">
      <c r="A7" s="4" t="inlineStr">
        <is>
          <t>Hypothesised mean (mu0)</t>
        </is>
      </c>
      <c r="B7" s="5" t="n">
        <v>24</v>
      </c>
      <c r="C7" s="2" t="inlineStr">
        <is>
          <t>the value under H0</t>
        </is>
      </c>
    </row>
    <row r="8">
      <c r="A8" s="4" t="inlineStr">
        <is>
          <t>Sample sd (s)</t>
        </is>
      </c>
      <c r="B8" s="5" t="n">
        <v>2</v>
      </c>
      <c r="C8" s="2" t="inlineStr">
        <is>
          <t>STDEV.S of your data</t>
        </is>
      </c>
    </row>
    <row r="9">
      <c r="A9" s="4" t="inlineStr">
        <is>
          <t>Sample size (n)</t>
        </is>
      </c>
      <c r="B9" s="5" t="n">
        <v>30</v>
      </c>
    </row>
    <row r="10">
      <c r="A10" s="4" t="inlineStr">
        <is>
          <t>Alpha</t>
        </is>
      </c>
      <c r="B10" s="5" t="n">
        <v>0.05</v>
      </c>
    </row>
    <row r="11">
      <c r="A11" s="4" t="inlineStr">
        <is>
          <t>Tails (1 or 2)</t>
        </is>
      </c>
      <c r="B11" s="5" t="n">
        <v>2</v>
      </c>
    </row>
    <row r="13">
      <c r="A13" s="3" t="inlineStr">
        <is>
          <t>RESULTS</t>
        </is>
      </c>
    </row>
    <row r="14">
      <c r="A14" s="4" t="inlineStr">
        <is>
          <t>Standard error</t>
        </is>
      </c>
      <c r="B14" s="6">
        <f>B8/SQRT(B9)</f>
        <v/>
      </c>
      <c r="C14" s="2" t="inlineStr">
        <is>
          <t>s / sqrt(n)</t>
        </is>
      </c>
    </row>
    <row r="15">
      <c r="A15" s="4" t="inlineStr">
        <is>
          <t>Degrees of freedom</t>
        </is>
      </c>
      <c r="B15" s="6">
        <f>B9-1</f>
        <v/>
      </c>
      <c r="C15" s="2" t="inlineStr">
        <is>
          <t>n - 1</t>
        </is>
      </c>
    </row>
    <row r="16">
      <c r="A16" s="4" t="inlineStr">
        <is>
          <t>Test statistic t</t>
        </is>
      </c>
      <c r="B16" s="6">
        <f>(B6-B7)/B14</f>
        <v/>
      </c>
    </row>
    <row r="17">
      <c r="A17" s="4" t="inlineStr">
        <is>
          <t>Critical value</t>
        </is>
      </c>
      <c r="B17" s="6">
        <f>IF(B11=2,T.INV.2T(B10,B15),T.INV(1-B10,B15))</f>
        <v/>
      </c>
      <c r="C17" s="2" t="inlineStr">
        <is>
          <t>T.INV.2T already halves alpha - do not halve it yourself</t>
        </is>
      </c>
    </row>
    <row r="18">
      <c r="A18" s="4" t="inlineStr">
        <is>
          <t>p-value</t>
        </is>
      </c>
      <c r="B18" s="6">
        <f>IF(B11=2,T.DIST.2T(ABS(B16),B15),T.DIST.RT(ABS(B16),B15))</f>
        <v/>
      </c>
    </row>
    <row r="20">
      <c r="A20" s="3" t="inlineStr">
        <is>
          <t>VERDICT</t>
        </is>
      </c>
    </row>
    <row r="21">
      <c r="A21" s="4" t="inlineStr">
        <is>
          <t>By critical value</t>
        </is>
      </c>
      <c r="B21" s="7">
        <f>IF(ABS(B16)&gt;B17,"Reject H0","Do not reject H0")</f>
        <v/>
      </c>
      <c r="C21" s="2" t="inlineStr">
        <is>
          <t>Reject when the test statistic is further from zero than the critical value.</t>
        </is>
      </c>
    </row>
    <row r="22">
      <c r="A22" s="4" t="inlineStr">
        <is>
          <t>By p-value</t>
        </is>
      </c>
      <c r="B22" s="7">
        <f>IF(B18&lt;B10,"Reject H0","Do not reject H0")</f>
        <v/>
      </c>
      <c r="C22" s="2" t="inlineStr">
        <is>
          <t>Reject when p &lt; alpha.</t>
        </is>
      </c>
    </row>
    <row r="23">
      <c r="A23" s="4" t="inlineStr">
        <is>
          <t>Routes agree?</t>
        </is>
      </c>
      <c r="B23" s="7">
        <f>IF(B21=B22,"yes","CHECK YOUR INPUTS")</f>
        <v/>
      </c>
      <c r="C23" s="2" t="inlineStr">
        <is>
          <t>These two always agree. If they don't, an input is wrong.</t>
        </is>
      </c>
    </row>
    <row r="25">
      <c r="A25" s="2" t="inlineStr">
        <is>
          <t>Remember: failing to reject H0 is not the same as proving it true.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62" customWidth="1" min="3" max="3"/>
  </cols>
  <sheetData>
    <row r="1">
      <c r="A1" s="1" t="inlineStr">
        <is>
          <t>Two-Sample Z-Test</t>
        </is>
      </c>
    </row>
    <row r="2">
      <c r="A2" s="2" t="inlineStr">
        <is>
          <t>Compares the means of two independent samples.</t>
        </is>
      </c>
    </row>
    <row r="3">
      <c r="A3" s="2" t="inlineStr">
        <is>
          <t>Use when: population sds are known, or both samples are large enough for the CLT.</t>
        </is>
      </c>
    </row>
    <row r="5">
      <c r="A5" s="3" t="inlineStr">
        <is>
          <t>INPUTS</t>
        </is>
      </c>
    </row>
    <row r="6">
      <c r="A6" s="4" t="inlineStr">
        <is>
          <t>Mean 1</t>
        </is>
      </c>
      <c r="B6" s="5" t="n">
        <v>3.9</v>
      </c>
    </row>
    <row r="7">
      <c r="A7" s="4" t="inlineStr">
        <is>
          <t>SD 1</t>
        </is>
      </c>
      <c r="B7" s="5" t="n">
        <v>2.1</v>
      </c>
    </row>
    <row r="8">
      <c r="A8" s="4" t="inlineStr">
        <is>
          <t>n 1</t>
        </is>
      </c>
      <c r="B8" s="5" t="n">
        <v>50</v>
      </c>
    </row>
    <row r="9">
      <c r="A9" s="4" t="inlineStr">
        <is>
          <t>Mean 2</t>
        </is>
      </c>
      <c r="B9" s="5" t="n">
        <v>4.8</v>
      </c>
    </row>
    <row r="10">
      <c r="A10" s="4" t="inlineStr">
        <is>
          <t>SD 2</t>
        </is>
      </c>
      <c r="B10" s="5" t="n">
        <v>1.9</v>
      </c>
    </row>
    <row r="11">
      <c r="A11" s="4" t="inlineStr">
        <is>
          <t>n 2</t>
        </is>
      </c>
      <c r="B11" s="5" t="n">
        <v>40</v>
      </c>
    </row>
    <row r="12">
      <c r="A12" s="4" t="inlineStr">
        <is>
          <t>Alpha</t>
        </is>
      </c>
      <c r="B12" s="5" t="n">
        <v>0.05</v>
      </c>
    </row>
    <row r="13">
      <c r="A13" s="4" t="inlineStr">
        <is>
          <t>Tails (1 or 2)</t>
        </is>
      </c>
      <c r="B13" s="5" t="n">
        <v>2</v>
      </c>
    </row>
    <row r="15">
      <c r="A15" s="3" t="inlineStr">
        <is>
          <t>RESULTS</t>
        </is>
      </c>
    </row>
    <row r="16">
      <c r="A16" s="4" t="inlineStr">
        <is>
          <t>Standard error of difference</t>
        </is>
      </c>
      <c r="B16" s="6">
        <f>SQRT(B7^2/B8+B10^2/B11)</f>
        <v/>
      </c>
      <c r="C16" s="2" t="inlineStr">
        <is>
          <t>sqrt(s1^2/n1 + s2^2/n2)</t>
        </is>
      </c>
    </row>
    <row r="17">
      <c r="A17" s="4" t="inlineStr">
        <is>
          <t>Test statistic z</t>
        </is>
      </c>
      <c r="B17" s="6">
        <f>(B6-B9)/B16</f>
        <v/>
      </c>
    </row>
    <row r="18">
      <c r="A18" s="4" t="inlineStr">
        <is>
          <t>Critical value</t>
        </is>
      </c>
      <c r="B18" s="6">
        <f>IF(B13=2,NORM.S.INV(1-B12/2),NORM.S.INV(1-B12))</f>
        <v/>
      </c>
      <c r="C18" s="2" t="inlineStr">
        <is>
          <t>1.96 for a two-tailed test at alpha = 0.05</t>
        </is>
      </c>
    </row>
    <row r="19">
      <c r="A19" s="4" t="inlineStr">
        <is>
          <t>p-value</t>
        </is>
      </c>
      <c r="B19" s="6">
        <f>IF(B13=2,2*(1-NORM.S.DIST(ABS(B17),TRUE)),1-NORM.S.DIST(ABS(B17),TRUE))</f>
        <v/>
      </c>
    </row>
    <row r="21">
      <c r="A21" s="3" t="inlineStr">
        <is>
          <t>VERDICT</t>
        </is>
      </c>
    </row>
    <row r="22">
      <c r="A22" s="4" t="inlineStr">
        <is>
          <t>By critical value</t>
        </is>
      </c>
      <c r="B22" s="7">
        <f>IF(ABS(B17)&gt;B18,"Reject H0","Do not reject H0")</f>
        <v/>
      </c>
      <c r="C22" s="2" t="inlineStr">
        <is>
          <t>Reject when the test statistic is further from zero than the critical value.</t>
        </is>
      </c>
    </row>
    <row r="23">
      <c r="A23" s="4" t="inlineStr">
        <is>
          <t>By p-value</t>
        </is>
      </c>
      <c r="B23" s="7">
        <f>IF(B19&lt;B12,"Reject H0","Do not reject H0")</f>
        <v/>
      </c>
      <c r="C23" s="2" t="inlineStr">
        <is>
          <t>Reject when p &lt; alpha.</t>
        </is>
      </c>
    </row>
    <row r="24">
      <c r="A24" s="4" t="inlineStr">
        <is>
          <t>Routes agree?</t>
        </is>
      </c>
      <c r="B24" s="7">
        <f>IF(B22=B23,"yes","CHECK YOUR INPUTS")</f>
        <v/>
      </c>
      <c r="C24" s="2" t="inlineStr">
        <is>
          <t>These two always agree. If they don't, an input is wrong.</t>
        </is>
      </c>
    </row>
    <row r="26">
      <c r="A26" s="2" t="inlineStr">
        <is>
          <t>Remember: failing to reject H0 is not the same as proving it true.</t>
        </is>
      </c>
    </row>
    <row r="28">
      <c r="A28" s="2" t="inlineStr">
        <is>
          <t>Note: with unknown population sds a t-test is the more standard choice. At these sample sizes the two give nearly the same answer.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62" customWidth="1" min="3" max="3"/>
  </cols>
  <sheetData>
    <row r="1">
      <c r="A1" s="1" t="inlineStr">
        <is>
          <t>Two-Sample T-Test (pooled variance)</t>
        </is>
      </c>
    </row>
    <row r="2">
      <c r="A2" s="2" t="inlineStr">
        <is>
          <t>Compares the means of two independent samples.</t>
        </is>
      </c>
    </row>
    <row r="3">
      <c r="A3" s="2" t="inlineStr">
        <is>
          <t>Use when: population sds are unknown but the two groups have similar variance.</t>
        </is>
      </c>
    </row>
    <row r="5">
      <c r="A5" s="3" t="inlineStr">
        <is>
          <t>INPUTS</t>
        </is>
      </c>
    </row>
    <row r="6">
      <c r="A6" s="4" t="inlineStr">
        <is>
          <t>Mean 1</t>
        </is>
      </c>
      <c r="B6" s="5" t="n">
        <v>144</v>
      </c>
    </row>
    <row r="7">
      <c r="A7" s="4" t="inlineStr">
        <is>
          <t>SD 1</t>
        </is>
      </c>
      <c r="B7" s="5" t="n">
        <v>49</v>
      </c>
    </row>
    <row r="8">
      <c r="A8" s="4" t="inlineStr">
        <is>
          <t>n 1</t>
        </is>
      </c>
      <c r="B8" s="5" t="n">
        <v>64</v>
      </c>
    </row>
    <row r="9">
      <c r="A9" s="4" t="inlineStr">
        <is>
          <t>Mean 2</t>
        </is>
      </c>
      <c r="B9" s="5" t="n">
        <v>121</v>
      </c>
    </row>
    <row r="10">
      <c r="A10" s="4" t="inlineStr">
        <is>
          <t>SD 2</t>
        </is>
      </c>
      <c r="B10" s="5" t="n">
        <v>49</v>
      </c>
    </row>
    <row r="11">
      <c r="A11" s="4" t="inlineStr">
        <is>
          <t>n 2</t>
        </is>
      </c>
      <c r="B11" s="5" t="n">
        <v>49</v>
      </c>
    </row>
    <row r="12">
      <c r="A12" s="4" t="inlineStr">
        <is>
          <t>Alpha</t>
        </is>
      </c>
      <c r="B12" s="5" t="n">
        <v>0.05</v>
      </c>
    </row>
    <row r="13">
      <c r="A13" s="4" t="inlineStr">
        <is>
          <t>Tails (1 or 2)</t>
        </is>
      </c>
      <c r="B13" s="5" t="n">
        <v>2</v>
      </c>
    </row>
    <row r="15">
      <c r="A15" s="3" t="inlineStr">
        <is>
          <t>RESULTS</t>
        </is>
      </c>
    </row>
    <row r="16">
      <c r="A16" s="4" t="inlineStr">
        <is>
          <t>Pooled sd</t>
        </is>
      </c>
      <c r="B16" s="6">
        <f>SQRT(((B8-1)*B7^2+(B11-1)*B10^2)/(B8+B11-2))</f>
        <v/>
      </c>
      <c r="C16" s="2" t="inlineStr">
        <is>
          <t>when both sds are equal this is just that value</t>
        </is>
      </c>
    </row>
    <row r="17">
      <c r="A17" s="4" t="inlineStr">
        <is>
          <t>Standard error of difference</t>
        </is>
      </c>
      <c r="B17" s="6">
        <f>B16*SQRT(1/B8+1/B11)</f>
        <v/>
      </c>
    </row>
    <row r="18">
      <c r="A18" s="4" t="inlineStr">
        <is>
          <t>Degrees of freedom</t>
        </is>
      </c>
      <c r="B18" s="6">
        <f>B8+B11-2</f>
        <v/>
      </c>
      <c r="C18" s="2" t="inlineStr">
        <is>
          <t>n1 + n2 - 2</t>
        </is>
      </c>
    </row>
    <row r="19">
      <c r="A19" s="4" t="inlineStr">
        <is>
          <t>Test statistic t</t>
        </is>
      </c>
      <c r="B19" s="6">
        <f>(B6-B9)/B17</f>
        <v/>
      </c>
    </row>
    <row r="20">
      <c r="A20" s="4" t="inlineStr">
        <is>
          <t>Critical value</t>
        </is>
      </c>
      <c r="B20" s="6">
        <f>IF(B13=2,T.INV.2T(B12,B18),T.INV(1-B12,B18))</f>
        <v/>
      </c>
    </row>
    <row r="21">
      <c r="A21" s="4" t="inlineStr">
        <is>
          <t>p-value</t>
        </is>
      </c>
      <c r="B21" s="6">
        <f>IF(B13=2,T.DIST.2T(ABS(B19),B18),T.DIST.RT(ABS(B19),B18))</f>
        <v/>
      </c>
    </row>
    <row r="23">
      <c r="A23" s="3" t="inlineStr">
        <is>
          <t>VERDICT</t>
        </is>
      </c>
    </row>
    <row r="24">
      <c r="A24" s="4" t="inlineStr">
        <is>
          <t>By critical value</t>
        </is>
      </c>
      <c r="B24" s="7">
        <f>IF(ABS(B19)&gt;B20,"Reject H0","Do not reject H0")</f>
        <v/>
      </c>
      <c r="C24" s="2" t="inlineStr">
        <is>
          <t>Reject when the test statistic is further from zero than the critical value.</t>
        </is>
      </c>
    </row>
    <row r="25">
      <c r="A25" s="4" t="inlineStr">
        <is>
          <t>By p-value</t>
        </is>
      </c>
      <c r="B25" s="7">
        <f>IF(B21&lt;B12,"Reject H0","Do not reject H0")</f>
        <v/>
      </c>
      <c r="C25" s="2" t="inlineStr">
        <is>
          <t>Reject when p &lt; alpha.</t>
        </is>
      </c>
    </row>
    <row r="26">
      <c r="A26" s="4" t="inlineStr">
        <is>
          <t>Routes agree?</t>
        </is>
      </c>
      <c r="B26" s="7">
        <f>IF(B24=B25,"yes","CHECK YOUR INPUTS")</f>
        <v/>
      </c>
      <c r="C26" s="2" t="inlineStr">
        <is>
          <t>These two always agree. If they don't, an input is wrong.</t>
        </is>
      </c>
    </row>
    <row r="28">
      <c r="A28" s="2" t="inlineStr">
        <is>
          <t>Remember: failing to reject H0 is not the same as proving it true.</t>
        </is>
      </c>
    </row>
    <row r="30">
      <c r="A30" s="2" t="inlineStr">
        <is>
          <t>Preloaded with the Leeds/Manchester bus example: t = 2.473, critical 1.98.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62" customWidth="1" min="3" max="3"/>
  </cols>
  <sheetData>
    <row r="1">
      <c r="A1" s="1" t="inlineStr">
        <is>
          <t>Paired-Sample T-Test</t>
        </is>
      </c>
    </row>
    <row r="2">
      <c r="A2" s="2" t="inlineStr">
        <is>
          <t>Tests whether the mean of the paired differences is zero.</t>
        </is>
      </c>
    </row>
    <row r="3">
      <c r="A3" s="2" t="inlineStr">
        <is>
          <t>Use when: the same subjects are measured twice - before and after.</t>
        </is>
      </c>
    </row>
    <row r="5">
      <c r="A5" s="3" t="inlineStr">
        <is>
          <t>INPUTS</t>
        </is>
      </c>
    </row>
    <row r="6">
      <c r="A6" s="2" t="inlineStr">
        <is>
          <t>Work out the difference for each pair first, then summarise those differences.</t>
        </is>
      </c>
    </row>
    <row r="7">
      <c r="A7" s="4" t="inlineStr">
        <is>
          <t>Mean of differences</t>
        </is>
      </c>
      <c r="B7" s="5" t="n">
        <v>-8.4</v>
      </c>
      <c r="C7" s="2" t="inlineStr">
        <is>
          <t>AVERAGE of the difference column</t>
        </is>
      </c>
    </row>
    <row r="8">
      <c r="A8" s="4" t="inlineStr">
        <is>
          <t>SD of differences</t>
        </is>
      </c>
      <c r="B8" s="5" t="n">
        <v>4.99</v>
      </c>
      <c r="C8" s="2" t="inlineStr">
        <is>
          <t>STDEV.S of the difference column</t>
        </is>
      </c>
    </row>
    <row r="9">
      <c r="A9" s="4" t="inlineStr">
        <is>
          <t>Number of pairs (n)</t>
        </is>
      </c>
      <c r="B9" s="5" t="n">
        <v>30</v>
      </c>
      <c r="C9" s="2" t="inlineStr">
        <is>
          <t>pairs, not total observations</t>
        </is>
      </c>
    </row>
    <row r="10">
      <c r="A10" s="4" t="inlineStr">
        <is>
          <t>Alpha</t>
        </is>
      </c>
      <c r="B10" s="5" t="n">
        <v>0.05</v>
      </c>
    </row>
    <row r="11">
      <c r="A11" s="4" t="inlineStr">
        <is>
          <t>Tails (1 or 2)</t>
        </is>
      </c>
      <c r="B11" s="5" t="n">
        <v>2</v>
      </c>
    </row>
    <row r="13">
      <c r="A13" s="3" t="inlineStr">
        <is>
          <t>RESULTS</t>
        </is>
      </c>
    </row>
    <row r="14">
      <c r="A14" s="4" t="inlineStr">
        <is>
          <t>Standard error</t>
        </is>
      </c>
      <c r="B14" s="6">
        <f>B8/SQRT(B9)</f>
        <v/>
      </c>
    </row>
    <row r="15">
      <c r="A15" s="4" t="inlineStr">
        <is>
          <t>Degrees of freedom</t>
        </is>
      </c>
      <c r="B15" s="6">
        <f>B9-1</f>
        <v/>
      </c>
      <c r="C15" s="2" t="inlineStr">
        <is>
          <t>n - 1, where n is the number of pairs</t>
        </is>
      </c>
    </row>
    <row r="16">
      <c r="A16" s="4" t="inlineStr">
        <is>
          <t>Test statistic t</t>
        </is>
      </c>
      <c r="B16" s="6">
        <f>B7/B14</f>
        <v/>
      </c>
    </row>
    <row r="17">
      <c r="A17" s="4" t="inlineStr">
        <is>
          <t>Critical value</t>
        </is>
      </c>
      <c r="B17" s="6">
        <f>IF(B11=2,T.INV.2T(B10,B15),T.INV(1-B10,B15))</f>
        <v/>
      </c>
    </row>
    <row r="18">
      <c r="A18" s="4" t="inlineStr">
        <is>
          <t>p-value</t>
        </is>
      </c>
      <c r="B18" s="6">
        <f>IF(B11=2,T.DIST.2T(ABS(B16),B15),T.DIST.RT(ABS(B16),B15))</f>
        <v/>
      </c>
    </row>
    <row r="20">
      <c r="A20" s="3" t="inlineStr">
        <is>
          <t>VERDICT</t>
        </is>
      </c>
    </row>
    <row r="21">
      <c r="A21" s="4" t="inlineStr">
        <is>
          <t>By critical value</t>
        </is>
      </c>
      <c r="B21" s="7">
        <f>IF(ABS(B16)&gt;B17,"Reject H0","Do not reject H0")</f>
        <v/>
      </c>
      <c r="C21" s="2" t="inlineStr">
        <is>
          <t>Reject when the test statistic is further from zero than the critical value.</t>
        </is>
      </c>
    </row>
    <row r="22">
      <c r="A22" s="4" t="inlineStr">
        <is>
          <t>By p-value</t>
        </is>
      </c>
      <c r="B22" s="7">
        <f>IF(B18&lt;B10,"Reject H0","Do not reject H0")</f>
        <v/>
      </c>
      <c r="C22" s="2" t="inlineStr">
        <is>
          <t>Reject when p &lt; alpha.</t>
        </is>
      </c>
    </row>
    <row r="23">
      <c r="A23" s="4" t="inlineStr">
        <is>
          <t>Routes agree?</t>
        </is>
      </c>
      <c r="B23" s="7">
        <f>IF(B21=B22,"yes","CHECK YOUR INPUTS")</f>
        <v/>
      </c>
      <c r="C23" s="2" t="inlineStr">
        <is>
          <t>These two always agree. If they don't, an input is wrong.</t>
        </is>
      </c>
    </row>
    <row r="25">
      <c r="A25" s="2" t="inlineStr">
        <is>
          <t>Remember: failing to reject H0 is not the same as proving it true.</t>
        </is>
      </c>
    </row>
    <row r="27">
      <c r="A27" s="2" t="inlineStr">
        <is>
          <t>If you have both raw columns you can cross-check with =T.TEST(range1, range2, 2, 1) - the 1 means paired.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62" customWidth="1" min="3" max="3"/>
  </cols>
  <sheetData>
    <row r="1">
      <c r="A1" s="1" t="inlineStr">
        <is>
          <t>Chi-Squared Test for Independence</t>
        </is>
      </c>
    </row>
    <row r="2">
      <c r="A2" s="2" t="inlineStr">
        <is>
          <t>Tests whether two categorical variables are associated.</t>
        </is>
      </c>
    </row>
    <row r="3">
      <c r="A3" s="2" t="inlineStr">
        <is>
          <t>Use when: you have counts in a contingency table and every expected value is at least 5.</t>
        </is>
      </c>
    </row>
    <row r="5">
      <c r="A5" s="3" t="inlineStr">
        <is>
          <t>INPUTS</t>
        </is>
      </c>
    </row>
    <row r="6">
      <c r="A6" s="4" t="inlineStr">
        <is>
          <t>Test statistic (sum of (O-E)^2/E)</t>
        </is>
      </c>
      <c r="B6" s="5" t="n">
        <v>4.1</v>
      </c>
      <c r="C6" s="2" t="inlineStr">
        <is>
          <t>compute this in your own table</t>
        </is>
      </c>
    </row>
    <row r="7">
      <c r="A7" s="4" t="inlineStr">
        <is>
          <t>Number of rows</t>
        </is>
      </c>
      <c r="B7" s="5" t="n">
        <v>2</v>
      </c>
      <c r="C7" s="2" t="inlineStr">
        <is>
          <t>after any pooling</t>
        </is>
      </c>
    </row>
    <row r="8">
      <c r="A8" s="4" t="inlineStr">
        <is>
          <t>Number of columns</t>
        </is>
      </c>
      <c r="B8" s="5" t="n">
        <v>3</v>
      </c>
      <c r="C8" s="2" t="inlineStr">
        <is>
          <t>after any pooling</t>
        </is>
      </c>
    </row>
    <row r="9">
      <c r="A9" s="4" t="inlineStr">
        <is>
          <t>Alpha</t>
        </is>
      </c>
      <c r="B9" s="5" t="n">
        <v>0.05</v>
      </c>
    </row>
    <row r="11">
      <c r="A11" s="3" t="inlineStr">
        <is>
          <t>RESULTS</t>
        </is>
      </c>
    </row>
    <row r="12">
      <c r="A12" s="4" t="inlineStr">
        <is>
          <t>Degrees of freedom</t>
        </is>
      </c>
      <c r="B12" s="6">
        <f>(B7-1)*(B8-1)</f>
        <v/>
      </c>
      <c r="C12" s="2" t="inlineStr">
        <is>
          <t>(rows - 1) x (columns - 1)</t>
        </is>
      </c>
    </row>
    <row r="13">
      <c r="A13" s="4" t="inlineStr">
        <is>
          <t>Critical value</t>
        </is>
      </c>
      <c r="B13" s="6">
        <f>CHISQ.INV.RT(B9,B12)</f>
        <v/>
      </c>
      <c r="C13" s="2" t="inlineStr">
        <is>
          <t>CHISQ.INV.RT, not CHI.INV.RT - the latter does not exist</t>
        </is>
      </c>
    </row>
    <row r="14">
      <c r="A14" s="4" t="inlineStr">
        <is>
          <t>p-value</t>
        </is>
      </c>
      <c r="B14" s="6">
        <f>CHISQ.DIST.RT(B6,B12)</f>
        <v/>
      </c>
    </row>
    <row r="16">
      <c r="A16" s="3" t="inlineStr">
        <is>
          <t>VERDICT</t>
        </is>
      </c>
    </row>
    <row r="17">
      <c r="A17" s="4" t="inlineStr">
        <is>
          <t>By critical value</t>
        </is>
      </c>
      <c r="B17" s="7">
        <f>IF(B6&gt;B13,"Reject H0","Do not reject H0")</f>
        <v/>
      </c>
      <c r="C17" s="2" t="inlineStr">
        <is>
          <t>Reject when the test statistic is further from zero than the critical value.</t>
        </is>
      </c>
    </row>
    <row r="18">
      <c r="A18" s="4" t="inlineStr">
        <is>
          <t>By p-value</t>
        </is>
      </c>
      <c r="B18" s="7">
        <f>IF(B14&lt;B9,"Reject H0","Do not reject H0")</f>
        <v/>
      </c>
      <c r="C18" s="2" t="inlineStr">
        <is>
          <t>Reject when p &lt; alpha.</t>
        </is>
      </c>
    </row>
    <row r="19">
      <c r="A19" s="4" t="inlineStr">
        <is>
          <t>Routes agree?</t>
        </is>
      </c>
      <c r="B19" s="7">
        <f>IF(B17=B18,"yes","CHECK YOUR INPUTS")</f>
        <v/>
      </c>
      <c r="C19" s="2" t="inlineStr">
        <is>
          <t>These two always agree. If they don't, an input is wrong.</t>
        </is>
      </c>
    </row>
    <row r="21">
      <c r="A21" s="2" t="inlineStr">
        <is>
          <t>Remember: failing to reject H0 is not the same as proving it true.</t>
        </is>
      </c>
    </row>
    <row r="23">
      <c r="A23" s="2" t="inlineStr">
        <is>
          <t>Chi-squared is never two-tailed: the statistic cannot be negative, so there is no left tail.</t>
        </is>
      </c>
    </row>
    <row r="24">
      <c r="A24" s="2" t="inlineStr">
        <is>
          <t>If any expected value is below 5, pool similar categories together and recount the</t>
        </is>
      </c>
    </row>
    <row r="25">
      <c r="A25" s="2" t="inlineStr">
        <is>
          <t>degrees of freedom before using this sheet.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62" customWidth="1" min="3" max="3"/>
  </cols>
  <sheetData>
    <row r="1">
      <c r="A1" s="1" t="inlineStr">
        <is>
          <t>Regression Coefficient T-Test</t>
        </is>
      </c>
    </row>
    <row r="2">
      <c r="A2" s="2" t="inlineStr">
        <is>
          <t>Tests whether a fitted coefficient is really different from zero.</t>
        </is>
      </c>
    </row>
    <row r="3">
      <c r="A3" s="2" t="inlineStr">
        <is>
          <t>Use when: you have fitted r = a*w + b and want to know if the slope is real.</t>
        </is>
      </c>
    </row>
    <row r="5">
      <c r="A5" s="3" t="inlineStr">
        <is>
          <t>INPUTS</t>
        </is>
      </c>
    </row>
    <row r="6">
      <c r="A6" s="4" t="inlineStr">
        <is>
          <t>Coefficient</t>
        </is>
      </c>
      <c r="B6" s="5" t="n">
        <v>0.164</v>
      </c>
      <c r="C6" s="2" t="inlineStr">
        <is>
          <t>the gradient a, or the intercept b</t>
        </is>
      </c>
    </row>
    <row r="7">
      <c r="A7" s="4" t="inlineStr">
        <is>
          <t>Sum of squared residuals</t>
        </is>
      </c>
      <c r="B7" s="5" t="n">
        <v>538.6</v>
      </c>
      <c r="C7" s="2" t="inlineStr">
        <is>
          <t>sum of e^2</t>
        </is>
      </c>
    </row>
    <row r="8">
      <c r="A8" s="4" t="inlineStr">
        <is>
          <t>S_xx</t>
        </is>
      </c>
      <c r="B8" s="5" t="n">
        <v>107702.5</v>
      </c>
      <c r="C8" s="2" t="inlineStr">
        <is>
          <t>sum(x^2) - n * xbar^2</t>
        </is>
      </c>
    </row>
    <row r="9">
      <c r="A9" s="4" t="inlineStr">
        <is>
          <t>Sample size (n)</t>
        </is>
      </c>
      <c r="B9" s="5" t="n">
        <v>10</v>
      </c>
    </row>
    <row r="10">
      <c r="A10" s="4" t="inlineStr">
        <is>
          <t>Alpha</t>
        </is>
      </c>
      <c r="B10" s="5" t="n">
        <v>0.05</v>
      </c>
    </row>
    <row r="12">
      <c r="A12" s="3" t="inlineStr">
        <is>
          <t>RESULTS</t>
        </is>
      </c>
    </row>
    <row r="13">
      <c r="A13" s="4" t="inlineStr">
        <is>
          <t>Residual standard error</t>
        </is>
      </c>
      <c r="B13" s="6">
        <f>SQRT(B7/(B9-2))</f>
        <v/>
      </c>
      <c r="C13" s="2" t="inlineStr">
        <is>
          <t>sqrt(RSS / (n-2))</t>
        </is>
      </c>
    </row>
    <row r="14">
      <c r="A14" s="4" t="inlineStr">
        <is>
          <t>Standard error of coefficient</t>
        </is>
      </c>
      <c r="B14" s="6">
        <f>B13/SQRT(B8)</f>
        <v/>
      </c>
    </row>
    <row r="15">
      <c r="A15" s="4" t="inlineStr">
        <is>
          <t>Degrees of freedom</t>
        </is>
      </c>
      <c r="B15" s="6">
        <f>B9-2</f>
        <v/>
      </c>
      <c r="C15" s="2" t="inlineStr">
        <is>
          <t>n - 2: two coefficients were estimated</t>
        </is>
      </c>
    </row>
    <row r="16">
      <c r="A16" s="4" t="inlineStr">
        <is>
          <t>Test statistic t</t>
        </is>
      </c>
      <c r="B16" s="6">
        <f>B6/B14</f>
        <v/>
      </c>
      <c r="C16" s="2" t="inlineStr">
        <is>
          <t>coefficient / its standard error</t>
        </is>
      </c>
    </row>
    <row r="17">
      <c r="A17" s="4" t="inlineStr">
        <is>
          <t>Critical value</t>
        </is>
      </c>
      <c r="B17" s="6">
        <f>T.INV.2T(B10,B15)</f>
        <v/>
      </c>
      <c r="C17" s="2" t="inlineStr">
        <is>
          <t>always two-tailed here</t>
        </is>
      </c>
    </row>
    <row r="18">
      <c r="A18" s="4" t="inlineStr">
        <is>
          <t>p-value</t>
        </is>
      </c>
      <c r="B18" s="6">
        <f>T.DIST.2T(ABS(B16),B15)</f>
        <v/>
      </c>
    </row>
    <row r="20">
      <c r="A20" s="3" t="inlineStr">
        <is>
          <t>VERDICT</t>
        </is>
      </c>
    </row>
    <row r="21">
      <c r="A21" s="4" t="inlineStr">
        <is>
          <t>By critical value</t>
        </is>
      </c>
      <c r="B21" s="7">
        <f>IF(ABS(B16)&gt;B17,"Reject H0","Do not reject H0")</f>
        <v/>
      </c>
      <c r="C21" s="2" t="inlineStr">
        <is>
          <t>Reject when the test statistic is further from zero than the critical value.</t>
        </is>
      </c>
    </row>
    <row r="22">
      <c r="A22" s="4" t="inlineStr">
        <is>
          <t>By p-value</t>
        </is>
      </c>
      <c r="B22" s="7">
        <f>IF(B18&lt;B10,"Reject H0","Do not reject H0")</f>
        <v/>
      </c>
      <c r="C22" s="2" t="inlineStr">
        <is>
          <t>Reject when p &lt; alpha.</t>
        </is>
      </c>
    </row>
    <row r="23">
      <c r="A23" s="4" t="inlineStr">
        <is>
          <t>Routes agree?</t>
        </is>
      </c>
      <c r="B23" s="7">
        <f>IF(B21=B22,"yes","CHECK YOUR INPUTS")</f>
        <v/>
      </c>
      <c r="C23" s="2" t="inlineStr">
        <is>
          <t>These two always agree. If they don't, an input is wrong.</t>
        </is>
      </c>
    </row>
    <row r="25">
      <c r="A25" s="2" t="inlineStr">
        <is>
          <t>Remember: failing to reject H0 is not the same as proving it true.</t>
        </is>
      </c>
    </row>
    <row r="27">
      <c r="A27" s="2" t="inlineStr">
        <is>
          <t>Preloaded with the Tutorial 5 warning-distance regression: t = 6.56, critical 2.306.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2026-08-13T16:08:54Z</dcterms:created>
  <dcterms:modified xsi:type="dcterms:W3CDTF">2026-08-13T16:08:54Z</dcterms:modified>
</cp:coreProperties>
</file>